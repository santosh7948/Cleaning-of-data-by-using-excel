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ty\Documents\"/>
    </mc:Choice>
  </mc:AlternateContent>
  <xr:revisionPtr revIDLastSave="0" documentId="8_{5EF8A9F9-95E2-473D-A1A4-4D1DEE2E59ED}" xr6:coauthVersionLast="47" xr6:coauthVersionMax="47" xr10:uidLastSave="{00000000-0000-0000-0000-000000000000}"/>
  <bookViews>
    <workbookView xWindow="-108" yWindow="-108" windowWidth="23256" windowHeight="12456" xr2:uid="{CE7433EF-6371-4426-BC7E-24862DCB379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6" i="1" l="1"/>
  <c r="H55" i="1"/>
  <c r="H53" i="1"/>
  <c r="H52" i="1"/>
  <c r="H50" i="1"/>
  <c r="H48" i="1"/>
  <c r="H46" i="1"/>
  <c r="H45" i="1"/>
  <c r="H43" i="1"/>
  <c r="H42" i="1"/>
  <c r="H40" i="1"/>
  <c r="H38" i="1"/>
  <c r="H36" i="1"/>
  <c r="H35" i="1"/>
  <c r="H34" i="1"/>
  <c r="H32" i="1"/>
  <c r="H30" i="1"/>
  <c r="H29" i="1"/>
  <c r="H27" i="1"/>
  <c r="H26" i="1"/>
  <c r="H25" i="1"/>
  <c r="H24" i="1"/>
  <c r="H23" i="1"/>
  <c r="H22" i="1"/>
  <c r="H20" i="1"/>
  <c r="H19" i="1"/>
  <c r="H18" i="1"/>
  <c r="H16" i="1"/>
  <c r="H15" i="1"/>
</calcChain>
</file>

<file path=xl/sharedStrings.xml><?xml version="1.0" encoding="utf-8"?>
<sst xmlns="http://schemas.openxmlformats.org/spreadsheetml/2006/main" count="582" uniqueCount="225">
  <si>
    <t>Id</t>
  </si>
  <si>
    <t>First Name</t>
  </si>
  <si>
    <t>Last Name</t>
  </si>
  <si>
    <t>Age</t>
  </si>
  <si>
    <t>Gender</t>
  </si>
  <si>
    <t>Department</t>
  </si>
  <si>
    <t>Email</t>
  </si>
  <si>
    <t>Phone</t>
  </si>
  <si>
    <t>Address</t>
  </si>
  <si>
    <t>Salary</t>
  </si>
  <si>
    <t>John</t>
  </si>
  <si>
    <t>Doe</t>
  </si>
  <si>
    <t>M</t>
  </si>
  <si>
    <t>Operations</t>
  </si>
  <si>
    <t>john.doe@gmail.com</t>
  </si>
  <si>
    <t>91-1234567890</t>
  </si>
  <si>
    <t>123 Main St, Bangalore, Karnataka, India</t>
  </si>
  <si>
    <t>Jane</t>
  </si>
  <si>
    <t>Smith</t>
  </si>
  <si>
    <t>F</t>
  </si>
  <si>
    <t>It Department</t>
  </si>
  <si>
    <t>jane.smith@hotmail.com</t>
  </si>
  <si>
    <t>91-9876543210</t>
  </si>
  <si>
    <t>456 Park Ave, Mumbai, Maharashtra, India</t>
  </si>
  <si>
    <t>Amit</t>
  </si>
  <si>
    <t>Patel</t>
  </si>
  <si>
    <t>It Devlopement</t>
  </si>
  <si>
    <t>amit.patel@gmail.com</t>
  </si>
  <si>
    <t>91-8765432109</t>
  </si>
  <si>
    <t>789 3rd St, Kolkata, West Bengal, India</t>
  </si>
  <si>
    <t>Priya</t>
  </si>
  <si>
    <t>Sharma</t>
  </si>
  <si>
    <t>Sales</t>
  </si>
  <si>
    <t>priya.sharma@yahoo.com</t>
  </si>
  <si>
    <t>91-5555555555</t>
  </si>
  <si>
    <t>12 4th St, New Delhi, Delhi, India</t>
  </si>
  <si>
    <t>jane.doe@gmail.com</t>
  </si>
  <si>
    <t>91-</t>
  </si>
  <si>
    <t>Address not found</t>
  </si>
  <si>
    <t>Rakesh</t>
  </si>
  <si>
    <t>Kumar</t>
  </si>
  <si>
    <t>Data Science</t>
  </si>
  <si>
    <t>rakesh.kumar@yahoo.com</t>
  </si>
  <si>
    <t>345 5th St, Jaipur, Rajasthan, India</t>
  </si>
  <si>
    <t>Aman</t>
  </si>
  <si>
    <t>Verma</t>
  </si>
  <si>
    <t>aman.verma@gmail.com</t>
  </si>
  <si>
    <t>91-8888888797</t>
  </si>
  <si>
    <t>Neha</t>
  </si>
  <si>
    <t>Gupta</t>
  </si>
  <si>
    <t>neha.gupta@hotmail.com</t>
  </si>
  <si>
    <t>91-7777777686</t>
  </si>
  <si>
    <t>901 7th St, Hyderabad, Telangana, India</t>
  </si>
  <si>
    <t>Naveen</t>
  </si>
  <si>
    <t>naveen.sharma@gmail.com</t>
  </si>
  <si>
    <t>234 8th St, Pune, Maharashtra, India</t>
  </si>
  <si>
    <t>Vinita</t>
  </si>
  <si>
    <t>Kapoor</t>
  </si>
  <si>
    <t>vinita.kapoor@yahoo.com</t>
  </si>
  <si>
    <t>91-6666666575</t>
  </si>
  <si>
    <t>567 9th St, Ahmedabad, Gujarat, India</t>
  </si>
  <si>
    <t>Rajeev</t>
  </si>
  <si>
    <t>rajeev.kumar@hotmail.com</t>
  </si>
  <si>
    <t>91-5555555464</t>
  </si>
  <si>
    <t>789 10th St, Bangalore, Karnataka, India</t>
  </si>
  <si>
    <t>Swati</t>
  </si>
  <si>
    <t>Singh</t>
  </si>
  <si>
    <t>Hr</t>
  </si>
  <si>
    <t>swati.singh@gmail.com</t>
  </si>
  <si>
    <t>654 12th St, Kolkata, West Bengal, India</t>
  </si>
  <si>
    <t>Kavita</t>
  </si>
  <si>
    <t>Finance/Accounts</t>
  </si>
  <si>
    <t>kavita.sharma@yahoo.com</t>
  </si>
  <si>
    <t>Manish</t>
  </si>
  <si>
    <t>Mangement</t>
  </si>
  <si>
    <t>manish.patel@hotmail.com</t>
  </si>
  <si>
    <t>91-1234567799</t>
  </si>
  <si>
    <t>987 13th St, New Delhi, Delhi, India</t>
  </si>
  <si>
    <t>Priyanka</t>
  </si>
  <si>
    <t>Jain</t>
  </si>
  <si>
    <t>priyanka.jain@yahoo.com</t>
  </si>
  <si>
    <t>91-8765432018</t>
  </si>
  <si>
    <t>Rohit</t>
  </si>
  <si>
    <t>rohit.sharma@gmail.com</t>
  </si>
  <si>
    <t>91-9876543119</t>
  </si>
  <si>
    <t>654 14th St, Jaipur, Rajasthan, India</t>
  </si>
  <si>
    <t>Deepika</t>
  </si>
  <si>
    <t>deepika.singh@yahoo.com</t>
  </si>
  <si>
    <t>321 15th St, Chennai, Tamil Nadu, India</t>
  </si>
  <si>
    <t>Vikas</t>
  </si>
  <si>
    <t>Joshi</t>
  </si>
  <si>
    <t>vikas.joshi@gmail.com</t>
  </si>
  <si>
    <t>91-9999999908</t>
  </si>
  <si>
    <t>Nisha</t>
  </si>
  <si>
    <t>nisha.verma@hotmail.com</t>
  </si>
  <si>
    <t>789 16th St, Hyderabad, Telangana, India</t>
  </si>
  <si>
    <t>Manoj</t>
  </si>
  <si>
    <t>manoj.kumar@yahoo.com</t>
  </si>
  <si>
    <t>901 17th St, Pune, Maharashtra, India</t>
  </si>
  <si>
    <t>Sanjay</t>
  </si>
  <si>
    <t>sanjay.gupta@gmail.com</t>
  </si>
  <si>
    <t>91-6666666666</t>
  </si>
  <si>
    <t>Anjali</t>
  </si>
  <si>
    <t>anjali.sharma@yahoo.com</t>
  </si>
  <si>
    <t>567 19th St, Bangalore, Karnataka, India</t>
  </si>
  <si>
    <t>Akash</t>
  </si>
  <si>
    <t>akash.patel@hotmail.com</t>
  </si>
  <si>
    <t>789 20th St, Mumbai, Maharashtra, India</t>
  </si>
  <si>
    <t>Preeti</t>
  </si>
  <si>
    <t>preeti.singh@gmail.com</t>
  </si>
  <si>
    <t>321 21st St, Kolkata, West Bengal, India</t>
  </si>
  <si>
    <t>Ravi</t>
  </si>
  <si>
    <t>ravi.kumar@gmail.com</t>
  </si>
  <si>
    <t>901 22nd St, Patna, Bihar, India</t>
  </si>
  <si>
    <t>Mishra</t>
  </si>
  <si>
    <t>swati.mishra@yahoo.com</t>
  </si>
  <si>
    <t>234 23rd St, Bhopal, Madhya Pradesh, India</t>
  </si>
  <si>
    <t>Ankit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</si>
  <si>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</si>
  <si>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</si>
  <si>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</si>
  <si>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</si>
  <si>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</si>
  <si>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</t>
  </si>
  <si>
    <t>sarika.patel@hotmail.com</t>
  </si>
  <si>
    <t>654 26th St, Chennai, Tamil Nadu, India</t>
  </si>
  <si>
    <t>Vinay</t>
  </si>
  <si>
    <t>vinay.singh@gmail.com</t>
  </si>
  <si>
    <t>321 27th St, Hyderabad, Telangana, India</t>
  </si>
  <si>
    <t>priya.gupta@yahoo.com</t>
  </si>
  <si>
    <t>901 28th St, Pune, Maharashtra, India</t>
  </si>
  <si>
    <t>Sushant</t>
  </si>
  <si>
    <t>sushant.patel@hotmail.com</t>
  </si>
  <si>
    <t>567 29th St, Ahmedabad, Gujarat, India</t>
  </si>
  <si>
    <t>Payal</t>
  </si>
  <si>
    <t>payal.sharma@gmail.com</t>
  </si>
  <si>
    <t>234 30th St, Bangalore, Karnataka, India</t>
  </si>
  <si>
    <t>Mohit</t>
  </si>
  <si>
    <t>mohit.verma@yahoo.com</t>
  </si>
  <si>
    <t>789 31st St, Mumbai, Maharashtra, India</t>
  </si>
  <si>
    <t>kavita.singh@hotmail.com</t>
  </si>
  <si>
    <t>901 32nd St, Kolkata, West Bengal, India</t>
  </si>
  <si>
    <t>Operation</t>
  </si>
  <si>
    <t>ankit.patel@gmail.com</t>
  </si>
  <si>
    <t>321 33rd St, Patna, Bihar, India</t>
  </si>
  <si>
    <t>Pooja</t>
  </si>
  <si>
    <t>pooja.mishra@yahoo.com</t>
  </si>
  <si>
    <t>234 34th St, Bhopal, Madhya Pradesh, India</t>
  </si>
  <si>
    <t>Mohan</t>
  </si>
  <si>
    <t>mohan.kumar@gmail.com</t>
  </si>
  <si>
    <t>567 35th St, Lucknow, Uttar Pradesh, India</t>
  </si>
  <si>
    <t>anjali.gupta@hotmail.com</t>
  </si>
  <si>
    <t>654 36th St, Jaipur, Rajasthan, India</t>
  </si>
  <si>
    <t>Mukesh</t>
  </si>
  <si>
    <t>mukesh.sharma@yahoo.com</t>
  </si>
  <si>
    <t>789 37th St, Chennai, Tamil Nadu, India</t>
  </si>
  <si>
    <t>Arjun</t>
  </si>
  <si>
    <t>arjun.singh@gmail.com</t>
  </si>
  <si>
    <t>Divya</t>
  </si>
  <si>
    <t>divya.patel@yahoo.com</t>
  </si>
  <si>
    <t>567 38th St, Hyderabad, Telangana, India</t>
  </si>
  <si>
    <t>Gaurav</t>
  </si>
  <si>
    <t>gaurav.kumar@gmail.com</t>
  </si>
  <si>
    <t>234 39th St, Pune, Maharashtra, India</t>
  </si>
  <si>
    <t>Aditi</t>
  </si>
  <si>
    <t>Shah</t>
  </si>
  <si>
    <t>aditi.shah@hotmail.com</t>
  </si>
  <si>
    <t>901 40th St, Ahmedabad, Gujarat, India</t>
  </si>
  <si>
    <t>Sandeep</t>
  </si>
  <si>
    <t>sandeep.singh@yahoo.com</t>
  </si>
  <si>
    <t>321 41st St, Bangalore, Karnataka, India</t>
  </si>
  <si>
    <t>Shalini</t>
  </si>
  <si>
    <t>shalini.sharma@gmail.com</t>
  </si>
  <si>
    <t>789 42nd St, Mumbai, Maharashtra, India</t>
  </si>
  <si>
    <t>Name</t>
  </si>
  <si>
    <t>John Doe</t>
  </si>
  <si>
    <t>Jane Smith</t>
  </si>
  <si>
    <t>IT Department</t>
  </si>
  <si>
    <t>Amit Patel</t>
  </si>
  <si>
    <t>IT DeVlopemENT</t>
  </si>
  <si>
    <t>Priya Sharma</t>
  </si>
  <si>
    <t>SALES</t>
  </si>
  <si>
    <t>SLES</t>
  </si>
  <si>
    <t>Rakesh Kumar</t>
  </si>
  <si>
    <t>DaTa SciENce</t>
  </si>
  <si>
    <t>Divya Singh</t>
  </si>
  <si>
    <t>91-9999999999</t>
  </si>
  <si>
    <t>678 6th St, Chennai, Tamil Nadu, India</t>
  </si>
  <si>
    <t>Aman Verma</t>
  </si>
  <si>
    <t>Neha Gupta</t>
  </si>
  <si>
    <t>Vinita Kapoor</t>
  </si>
  <si>
    <t>Rajeev Kumar</t>
  </si>
  <si>
    <t>321 11th St, Mumbai, Maharashtra, India</t>
  </si>
  <si>
    <t>Swati Singh</t>
  </si>
  <si>
    <t>HR</t>
  </si>
  <si>
    <t>Manish Patel</t>
  </si>
  <si>
    <t>Priyanka Jain</t>
  </si>
  <si>
    <t>Rohit Sharma</t>
  </si>
  <si>
    <t>Deepika Singh</t>
  </si>
  <si>
    <t>Nisha Verma</t>
  </si>
  <si>
    <t>Manoj Kumar</t>
  </si>
  <si>
    <t>234 18th St, Ahmedabad, Gujarat, India</t>
  </si>
  <si>
    <t>Sanjay Gupta</t>
  </si>
  <si>
    <t>Anjali Sharma</t>
  </si>
  <si>
    <t>Akash Patel</t>
  </si>
  <si>
    <t>Preeti Singh</t>
  </si>
  <si>
    <t>Ravi Kumar</t>
  </si>
  <si>
    <t>Swati Mishra</t>
  </si>
  <si>
    <t>Rajeev Sharma</t>
  </si>
  <si>
    <t>Vinay Singh</t>
  </si>
  <si>
    <t>Priya Gupta</t>
  </si>
  <si>
    <t>Sushant Patel</t>
  </si>
  <si>
    <t>Mohit Verma</t>
  </si>
  <si>
    <t>hR</t>
  </si>
  <si>
    <t>Kavita Singh</t>
  </si>
  <si>
    <t>Ankit Patel</t>
  </si>
  <si>
    <t>OperarYION</t>
  </si>
  <si>
    <t>Pooja Mishra</t>
  </si>
  <si>
    <t>Mohan Kumar</t>
  </si>
  <si>
    <t>Anjali Gupta</t>
  </si>
  <si>
    <t>Arjun Singh</t>
  </si>
  <si>
    <t>Divya Patel</t>
  </si>
  <si>
    <t>Aditi Shah</t>
  </si>
  <si>
    <t>Sandeep Singh</t>
  </si>
  <si>
    <t>Shalini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</si>
</sst>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3" borderId="0" xfId="0" applyFont="1" applyFill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480060</xdr:colOff>
      <xdr:row>0</xdr:row>
      <xdr:rowOff>114300</xdr:rowOff>
    </xdr:from>
    <xdr:to>
      <xdr:col>7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81F70A5-B8AF-41DF-A4DB-99754BB02C48}"/>
            </a:ext>
          </a:extLst>
        </xdr:cNvPr>
        <xdr:cNvSpPr/>
      </xdr:nvSpPr>
      <xdr:spPr>
        <a:xfrm>
          <a:off x="4594860" y="114300"/>
          <a:ext cx="525780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358140</xdr:colOff>
      <xdr:row>0</xdr:row>
      <xdr:rowOff>0</xdr:rowOff>
    </xdr:from>
    <xdr:ext cx="491427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E20F5D-70F6-43F9-B304-0D732C26ED32}"/>
            </a:ext>
          </a:extLst>
        </xdr:cNvPr>
        <xdr:cNvSpPr/>
      </xdr:nvSpPr>
      <xdr:spPr>
        <a:xfrm>
          <a:off x="1577340" y="0"/>
          <a:ext cx="4914274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8C226A-9844-4B2F-95B5-F81B8ED6226F}" name="Table1" displayName="Table1" ref="B7:J57" totalsRowShown="0" headerRowDxfId="10" dataDxfId="9">
  <tableColumns count="9">
    <tableColumn id="1" xr3:uid="{74FA5625-BB99-4C61-89F3-0A4EDF201FAD}" name="Id" dataDxfId="8"/>
    <tableColumn id="2" xr3:uid="{DB950654-39E9-4C1D-A03E-742ADCF677CB}" name="Name" dataDxfId="7"/>
    <tableColumn id="3" xr3:uid="{172757AD-D787-436C-9E60-D92FC600CA4F}" name="Age" dataDxfId="6"/>
    <tableColumn id="4" xr3:uid="{3E664457-2318-4936-B354-82E9DB0A6BFC}" name="Gender" dataDxfId="5"/>
    <tableColumn id="5" xr3:uid="{46FF34A9-CCE3-4B21-9944-DC29550C8C9F}" name="Department" dataDxfId="4"/>
    <tableColumn id="6" xr3:uid="{A87438CC-7815-4451-B97D-630CF4F5A6E5}" name="Email" dataDxfId="3"/>
    <tableColumn id="7" xr3:uid="{4DEB82CB-696C-48A7-BBC1-EA33C1868673}" name="Phone" dataDxfId="2"/>
    <tableColumn id="8" xr3:uid="{4BF7F7B8-DAE4-4167-A5B2-BA480E1712C8}" name="Address" dataDxfId="1"/>
    <tableColumn id="9" xr3:uid="{D6EE41D7-4ADD-4D1A-918A-588AE4EE683E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7778-0C07-4DF6-98D7-59EC25582F77}">
  <dimension ref="B7:J57"/>
  <sheetViews>
    <sheetView tabSelected="1" topLeftCell="A25" workbookViewId="0">
      <selection activeCell="N9" sqref="N9"/>
    </sheetView>
  </sheetViews>
  <sheetFormatPr defaultRowHeight="14.4" x14ac:dyDescent="0.3"/>
  <sheetData>
    <row r="7" spans="2:10" x14ac:dyDescent="0.3">
      <c r="B7" s="2" t="s">
        <v>0</v>
      </c>
      <c r="C7" s="2" t="s">
        <v>174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</row>
    <row r="8" spans="2:10" x14ac:dyDescent="0.3">
      <c r="B8">
        <v>1</v>
      </c>
      <c r="C8" t="s">
        <v>175</v>
      </c>
      <c r="D8">
        <v>32</v>
      </c>
      <c r="E8" t="s">
        <v>12</v>
      </c>
      <c r="F8" t="s">
        <v>13</v>
      </c>
      <c r="G8" t="s">
        <v>14</v>
      </c>
      <c r="H8" t="s">
        <v>15</v>
      </c>
      <c r="I8" t="s">
        <v>16</v>
      </c>
      <c r="J8">
        <v>4553</v>
      </c>
    </row>
    <row r="9" spans="2:10" x14ac:dyDescent="0.3">
      <c r="B9">
        <v>2</v>
      </c>
      <c r="C9" t="s">
        <v>176</v>
      </c>
      <c r="D9">
        <v>28</v>
      </c>
      <c r="E9" t="s">
        <v>19</v>
      </c>
      <c r="F9" t="s">
        <v>177</v>
      </c>
      <c r="G9" t="s">
        <v>21</v>
      </c>
      <c r="H9" t="s">
        <v>22</v>
      </c>
      <c r="I9" t="s">
        <v>23</v>
      </c>
      <c r="J9">
        <v>31169</v>
      </c>
    </row>
    <row r="10" spans="2:10" x14ac:dyDescent="0.3">
      <c r="B10">
        <v>3</v>
      </c>
      <c r="C10" t="s">
        <v>178</v>
      </c>
      <c r="D10">
        <v>27</v>
      </c>
      <c r="E10" t="s">
        <v>12</v>
      </c>
      <c r="F10" t="s">
        <v>179</v>
      </c>
      <c r="G10" t="s">
        <v>27</v>
      </c>
      <c r="H10" t="s">
        <v>28</v>
      </c>
      <c r="I10" t="s">
        <v>29</v>
      </c>
      <c r="J10">
        <v>11116</v>
      </c>
    </row>
    <row r="11" spans="2:10" x14ac:dyDescent="0.3">
      <c r="B11">
        <v>4</v>
      </c>
      <c r="C11" t="s">
        <v>180</v>
      </c>
      <c r="D11">
        <v>33</v>
      </c>
      <c r="E11" t="s">
        <v>19</v>
      </c>
      <c r="F11" t="s">
        <v>181</v>
      </c>
      <c r="G11" t="s">
        <v>33</v>
      </c>
      <c r="H11" t="s">
        <v>34</v>
      </c>
      <c r="I11" t="s">
        <v>35</v>
      </c>
      <c r="J11">
        <v>33457</v>
      </c>
    </row>
    <row r="12" spans="2:10" x14ac:dyDescent="0.3">
      <c r="B12">
        <v>5</v>
      </c>
      <c r="D12">
        <v>29</v>
      </c>
      <c r="E12" t="s">
        <v>19</v>
      </c>
      <c r="F12" t="s">
        <v>182</v>
      </c>
      <c r="G12" t="s">
        <v>36</v>
      </c>
      <c r="J12">
        <v>21918</v>
      </c>
    </row>
    <row r="13" spans="2:10" x14ac:dyDescent="0.3">
      <c r="B13">
        <v>6</v>
      </c>
      <c r="C13" t="s">
        <v>183</v>
      </c>
      <c r="D13">
        <v>34</v>
      </c>
      <c r="E13" t="s">
        <v>12</v>
      </c>
      <c r="F13" t="s">
        <v>184</v>
      </c>
      <c r="G13" t="s">
        <v>42</v>
      </c>
      <c r="I13" t="s">
        <v>43</v>
      </c>
      <c r="J13">
        <v>33418</v>
      </c>
    </row>
    <row r="14" spans="2:10" x14ac:dyDescent="0.3">
      <c r="B14">
        <v>7</v>
      </c>
      <c r="C14" t="s">
        <v>185</v>
      </c>
      <c r="D14">
        <v>25</v>
      </c>
      <c r="E14" t="s">
        <v>19</v>
      </c>
      <c r="F14" t="s">
        <v>179</v>
      </c>
      <c r="H14" t="s">
        <v>186</v>
      </c>
      <c r="I14" t="s">
        <v>187</v>
      </c>
      <c r="J14">
        <v>45828</v>
      </c>
    </row>
    <row r="15" spans="2:10" x14ac:dyDescent="0.3">
      <c r="B15">
        <v>8</v>
      </c>
      <c r="C15" t="s">
        <v>188</v>
      </c>
      <c r="D15">
        <v>31</v>
      </c>
      <c r="E15" t="s">
        <v>12</v>
      </c>
      <c r="F15" t="s">
        <v>181</v>
      </c>
      <c r="G15" t="s">
        <v>46</v>
      </c>
      <c r="H15">
        <f>91-8888888888</f>
        <v>-8888888797</v>
      </c>
      <c r="J15">
        <v>45450</v>
      </c>
    </row>
    <row r="16" spans="2:10" x14ac:dyDescent="0.3">
      <c r="B16">
        <v>9</v>
      </c>
      <c r="C16" t="s">
        <v>189</v>
      </c>
      <c r="D16">
        <v>27</v>
      </c>
      <c r="E16" t="s">
        <v>19</v>
      </c>
      <c r="F16" t="s">
        <v>182</v>
      </c>
      <c r="G16" t="s">
        <v>50</v>
      </c>
      <c r="H16">
        <f>91-7777777777</f>
        <v>-7777777686</v>
      </c>
      <c r="I16" t="s">
        <v>52</v>
      </c>
      <c r="J16">
        <v>49938</v>
      </c>
    </row>
    <row r="17" spans="2:10" x14ac:dyDescent="0.3">
      <c r="B17">
        <v>10</v>
      </c>
      <c r="D17">
        <v>35</v>
      </c>
      <c r="E17" t="s">
        <v>12</v>
      </c>
      <c r="F17" t="s">
        <v>13</v>
      </c>
      <c r="G17" t="s">
        <v>54</v>
      </c>
      <c r="I17" t="s">
        <v>55</v>
      </c>
      <c r="J17">
        <v>9818</v>
      </c>
    </row>
    <row r="18" spans="2:10" x14ac:dyDescent="0.3">
      <c r="B18">
        <v>11</v>
      </c>
      <c r="C18" t="s">
        <v>190</v>
      </c>
      <c r="E18" t="s">
        <v>19</v>
      </c>
      <c r="F18" t="s">
        <v>177</v>
      </c>
      <c r="G18" t="s">
        <v>58</v>
      </c>
      <c r="H18">
        <f>91-6666666666</f>
        <v>-6666666575</v>
      </c>
      <c r="I18" t="s">
        <v>60</v>
      </c>
      <c r="J18">
        <v>41836</v>
      </c>
    </row>
    <row r="19" spans="2:10" x14ac:dyDescent="0.3">
      <c r="B19">
        <v>12</v>
      </c>
      <c r="C19" t="s">
        <v>191</v>
      </c>
      <c r="D19">
        <v>29</v>
      </c>
      <c r="E19" t="s">
        <v>12</v>
      </c>
      <c r="F19" t="s">
        <v>177</v>
      </c>
      <c r="G19" t="s">
        <v>62</v>
      </c>
      <c r="H19">
        <f>91-5555555555</f>
        <v>-5555555464</v>
      </c>
      <c r="I19" t="s">
        <v>64</v>
      </c>
      <c r="J19">
        <v>11901</v>
      </c>
    </row>
    <row r="20" spans="2:10" x14ac:dyDescent="0.3">
      <c r="B20">
        <v>13</v>
      </c>
      <c r="D20">
        <v>26</v>
      </c>
      <c r="E20" t="s">
        <v>12</v>
      </c>
      <c r="F20" t="s">
        <v>32</v>
      </c>
      <c r="H20">
        <f>91-7777777777</f>
        <v>-7777777686</v>
      </c>
      <c r="I20" t="s">
        <v>192</v>
      </c>
      <c r="J20">
        <v>46236</v>
      </c>
    </row>
    <row r="21" spans="2:10" x14ac:dyDescent="0.3">
      <c r="B21">
        <v>14</v>
      </c>
      <c r="C21" t="s">
        <v>193</v>
      </c>
      <c r="D21">
        <v>28</v>
      </c>
      <c r="E21" t="s">
        <v>19</v>
      </c>
      <c r="F21" t="s">
        <v>194</v>
      </c>
      <c r="G21" t="s">
        <v>68</v>
      </c>
      <c r="I21" t="s">
        <v>69</v>
      </c>
      <c r="J21">
        <v>21978</v>
      </c>
    </row>
    <row r="22" spans="2:10" x14ac:dyDescent="0.3">
      <c r="B22">
        <v>15</v>
      </c>
      <c r="D22">
        <v>30</v>
      </c>
      <c r="E22" t="s">
        <v>19</v>
      </c>
      <c r="F22" t="s">
        <v>71</v>
      </c>
      <c r="G22" t="s">
        <v>72</v>
      </c>
      <c r="H22">
        <f>91-8888888888</f>
        <v>-8888888797</v>
      </c>
      <c r="J22">
        <v>49400</v>
      </c>
    </row>
    <row r="23" spans="2:10" x14ac:dyDescent="0.3">
      <c r="B23">
        <v>16</v>
      </c>
      <c r="C23" t="s">
        <v>195</v>
      </c>
      <c r="D23">
        <v>32</v>
      </c>
      <c r="E23" t="s">
        <v>12</v>
      </c>
      <c r="F23" t="s">
        <v>74</v>
      </c>
      <c r="G23" t="s">
        <v>75</v>
      </c>
      <c r="H23">
        <f>91-1234567890</f>
        <v>-1234567799</v>
      </c>
      <c r="I23" t="s">
        <v>77</v>
      </c>
      <c r="J23">
        <v>28476</v>
      </c>
    </row>
    <row r="24" spans="2:10" x14ac:dyDescent="0.3">
      <c r="B24">
        <v>17</v>
      </c>
      <c r="C24" t="s">
        <v>196</v>
      </c>
      <c r="D24">
        <v>26</v>
      </c>
      <c r="E24" t="s">
        <v>19</v>
      </c>
      <c r="F24" t="s">
        <v>41</v>
      </c>
      <c r="G24" t="s">
        <v>80</v>
      </c>
      <c r="H24">
        <f>91-8765432109</f>
        <v>-8765432018</v>
      </c>
      <c r="J24">
        <v>40088</v>
      </c>
    </row>
    <row r="25" spans="2:10" x14ac:dyDescent="0.3">
      <c r="B25">
        <v>18</v>
      </c>
      <c r="C25" t="s">
        <v>197</v>
      </c>
      <c r="D25">
        <v>28</v>
      </c>
      <c r="E25" t="s">
        <v>12</v>
      </c>
      <c r="F25" t="s">
        <v>184</v>
      </c>
      <c r="G25" t="s">
        <v>83</v>
      </c>
      <c r="H25">
        <f>91-9876543210</f>
        <v>-9876543119</v>
      </c>
      <c r="I25" t="s">
        <v>85</v>
      </c>
      <c r="J25">
        <v>2949</v>
      </c>
    </row>
    <row r="26" spans="2:10" x14ac:dyDescent="0.3">
      <c r="B26">
        <v>19</v>
      </c>
      <c r="C26" t="s">
        <v>198</v>
      </c>
      <c r="D26">
        <v>30</v>
      </c>
      <c r="E26" t="s">
        <v>19</v>
      </c>
      <c r="F26" t="s">
        <v>184</v>
      </c>
      <c r="G26" t="s">
        <v>87</v>
      </c>
      <c r="H26">
        <f>91-5555555555</f>
        <v>-5555555464</v>
      </c>
      <c r="I26" t="s">
        <v>88</v>
      </c>
      <c r="J26">
        <v>3337</v>
      </c>
    </row>
    <row r="27" spans="2:10" x14ac:dyDescent="0.3">
      <c r="B27">
        <v>20</v>
      </c>
      <c r="D27">
        <v>32</v>
      </c>
      <c r="E27" t="s">
        <v>12</v>
      </c>
      <c r="F27" t="s">
        <v>71</v>
      </c>
      <c r="G27" t="s">
        <v>91</v>
      </c>
      <c r="H27">
        <f>91-9999999999</f>
        <v>-9999999908</v>
      </c>
      <c r="J27">
        <v>2857</v>
      </c>
    </row>
    <row r="28" spans="2:10" x14ac:dyDescent="0.3">
      <c r="B28">
        <v>21</v>
      </c>
      <c r="C28" t="s">
        <v>199</v>
      </c>
      <c r="D28">
        <v>26</v>
      </c>
      <c r="E28" t="s">
        <v>19</v>
      </c>
      <c r="F28" t="s">
        <v>74</v>
      </c>
      <c r="G28" t="s">
        <v>94</v>
      </c>
      <c r="I28" t="s">
        <v>95</v>
      </c>
      <c r="J28">
        <v>35969</v>
      </c>
    </row>
    <row r="29" spans="2:10" x14ac:dyDescent="0.3">
      <c r="B29">
        <v>22</v>
      </c>
      <c r="C29" t="s">
        <v>200</v>
      </c>
      <c r="D29">
        <v>33</v>
      </c>
      <c r="E29" t="s">
        <v>12</v>
      </c>
      <c r="F29" t="s">
        <v>41</v>
      </c>
      <c r="G29" t="s">
        <v>97</v>
      </c>
      <c r="H29">
        <f>91-8888888888</f>
        <v>-8888888797</v>
      </c>
      <c r="I29" t="s">
        <v>98</v>
      </c>
      <c r="J29">
        <v>49681</v>
      </c>
    </row>
    <row r="30" spans="2:10" x14ac:dyDescent="0.3">
      <c r="B30">
        <v>23</v>
      </c>
      <c r="D30">
        <v>27</v>
      </c>
      <c r="E30" t="s">
        <v>19</v>
      </c>
      <c r="F30" t="s">
        <v>184</v>
      </c>
      <c r="H30">
        <f>91-7777777777</f>
        <v>-7777777686</v>
      </c>
      <c r="I30" t="s">
        <v>201</v>
      </c>
      <c r="J30">
        <v>45102</v>
      </c>
    </row>
    <row r="31" spans="2:10" x14ac:dyDescent="0.3">
      <c r="B31">
        <v>24</v>
      </c>
      <c r="C31" t="s">
        <v>202</v>
      </c>
      <c r="D31">
        <v>29</v>
      </c>
      <c r="E31" t="s">
        <v>12</v>
      </c>
      <c r="F31" t="s">
        <v>13</v>
      </c>
      <c r="G31" t="s">
        <v>100</v>
      </c>
      <c r="H31" t="s">
        <v>101</v>
      </c>
      <c r="J31">
        <v>15853</v>
      </c>
    </row>
    <row r="32" spans="2:10" x14ac:dyDescent="0.3">
      <c r="B32">
        <v>25</v>
      </c>
      <c r="C32" t="s">
        <v>203</v>
      </c>
      <c r="E32" t="s">
        <v>19</v>
      </c>
      <c r="F32" t="s">
        <v>177</v>
      </c>
      <c r="G32" t="s">
        <v>103</v>
      </c>
      <c r="H32">
        <f>91-5555555555</f>
        <v>-5555555464</v>
      </c>
      <c r="I32" t="s">
        <v>104</v>
      </c>
      <c r="J32">
        <v>6926</v>
      </c>
    </row>
    <row r="33" spans="2:10" x14ac:dyDescent="0.3">
      <c r="B33">
        <v>26</v>
      </c>
      <c r="C33" t="s">
        <v>204</v>
      </c>
      <c r="D33">
        <v>31</v>
      </c>
      <c r="E33" t="s">
        <v>12</v>
      </c>
      <c r="F33" t="s">
        <v>71</v>
      </c>
      <c r="G33" t="s">
        <v>106</v>
      </c>
      <c r="I33" t="s">
        <v>107</v>
      </c>
      <c r="J33">
        <v>45678</v>
      </c>
    </row>
    <row r="34" spans="2:10" x14ac:dyDescent="0.3">
      <c r="B34">
        <v>27</v>
      </c>
      <c r="C34" t="s">
        <v>205</v>
      </c>
      <c r="D34">
        <v>28</v>
      </c>
      <c r="E34" t="s">
        <v>19</v>
      </c>
      <c r="F34" t="s">
        <v>74</v>
      </c>
      <c r="G34" t="s">
        <v>109</v>
      </c>
      <c r="H34">
        <f>91-7777777777</f>
        <v>-7777777686</v>
      </c>
      <c r="I34" t="s">
        <v>110</v>
      </c>
      <c r="J34">
        <v>8022</v>
      </c>
    </row>
    <row r="35" spans="2:10" x14ac:dyDescent="0.3">
      <c r="B35">
        <v>28</v>
      </c>
      <c r="C35" t="s">
        <v>206</v>
      </c>
      <c r="D35">
        <v>34</v>
      </c>
      <c r="E35" t="s">
        <v>12</v>
      </c>
      <c r="F35" t="s">
        <v>41</v>
      </c>
      <c r="G35" t="s">
        <v>112</v>
      </c>
      <c r="H35">
        <f>91-8888888888</f>
        <v>-8888888797</v>
      </c>
      <c r="I35" t="s">
        <v>113</v>
      </c>
      <c r="J35">
        <v>3484</v>
      </c>
    </row>
    <row r="36" spans="2:10" x14ac:dyDescent="0.3">
      <c r="B36">
        <v>29</v>
      </c>
      <c r="C36" t="s">
        <v>207</v>
      </c>
      <c r="D36">
        <v>26</v>
      </c>
      <c r="E36" t="s">
        <v>19</v>
      </c>
      <c r="F36" t="s">
        <v>179</v>
      </c>
      <c r="G36" t="s">
        <v>115</v>
      </c>
      <c r="H36">
        <f>91-7777777777</f>
        <v>-7777777686</v>
      </c>
      <c r="I36" t="s">
        <v>116</v>
      </c>
      <c r="J36">
        <v>11342</v>
      </c>
    </row>
    <row r="37" spans="2:10" x14ac:dyDescent="0.3">
      <c r="B37">
        <v>30</v>
      </c>
      <c r="D37">
        <v>29</v>
      </c>
      <c r="E37" t="s">
        <v>12</v>
      </c>
      <c r="F37" t="s">
        <v>181</v>
      </c>
      <c r="G37" t="s">
        <v>118</v>
      </c>
      <c r="I37" t="s">
        <v>119</v>
      </c>
      <c r="J37">
        <v>40940</v>
      </c>
    </row>
    <row r="38" spans="2:10" x14ac:dyDescent="0.3">
      <c r="B38">
        <v>31</v>
      </c>
      <c r="C38" t="s">
        <v>189</v>
      </c>
      <c r="D38">
        <v>27</v>
      </c>
      <c r="E38" t="s">
        <v>19</v>
      </c>
      <c r="F38" t="s">
        <v>182</v>
      </c>
      <c r="G38" t="s">
        <v>120</v>
      </c>
      <c r="H38">
        <f>91-5555555555</f>
        <v>-5555555464</v>
      </c>
      <c r="J38">
        <v>41841</v>
      </c>
    </row>
    <row r="39" spans="2:10" x14ac:dyDescent="0.3">
      <c r="B39">
        <v>32</v>
      </c>
      <c r="C39" t="s">
        <v>208</v>
      </c>
      <c r="D39">
        <v>32</v>
      </c>
      <c r="E39" t="s">
        <v>12</v>
      </c>
      <c r="F39" t="s">
        <v>71</v>
      </c>
      <c r="G39" t="s">
        <v>121</v>
      </c>
      <c r="I39" t="s">
        <v>122</v>
      </c>
      <c r="J39">
        <v>39835</v>
      </c>
    </row>
    <row r="40" spans="2:10" x14ac:dyDescent="0.3">
      <c r="B40">
        <v>33</v>
      </c>
      <c r="D40">
        <v>33</v>
      </c>
      <c r="E40" t="s">
        <v>19</v>
      </c>
      <c r="F40" t="s">
        <v>74</v>
      </c>
      <c r="G40" t="s">
        <v>124</v>
      </c>
      <c r="H40">
        <f>91-6666666666</f>
        <v>-6666666575</v>
      </c>
      <c r="I40" t="s">
        <v>125</v>
      </c>
      <c r="J40">
        <v>9577</v>
      </c>
    </row>
    <row r="41" spans="2:10" x14ac:dyDescent="0.3">
      <c r="B41">
        <v>34</v>
      </c>
      <c r="C41" t="s">
        <v>209</v>
      </c>
      <c r="D41">
        <v>30</v>
      </c>
      <c r="E41" t="s">
        <v>12</v>
      </c>
      <c r="F41" t="s">
        <v>41</v>
      </c>
      <c r="G41" t="s">
        <v>127</v>
      </c>
      <c r="I41" t="s">
        <v>128</v>
      </c>
      <c r="J41">
        <v>29480</v>
      </c>
    </row>
    <row r="42" spans="2:10" x14ac:dyDescent="0.3">
      <c r="B42">
        <v>35</v>
      </c>
      <c r="C42" t="s">
        <v>210</v>
      </c>
      <c r="E42" t="s">
        <v>19</v>
      </c>
      <c r="F42" t="s">
        <v>179</v>
      </c>
      <c r="G42" t="s">
        <v>129</v>
      </c>
      <c r="H42">
        <f>91-5555555555</f>
        <v>-5555555464</v>
      </c>
      <c r="I42" t="s">
        <v>130</v>
      </c>
      <c r="J42">
        <v>14254</v>
      </c>
    </row>
    <row r="43" spans="2:10" x14ac:dyDescent="0.3">
      <c r="B43">
        <v>36</v>
      </c>
      <c r="C43" t="s">
        <v>211</v>
      </c>
      <c r="D43">
        <v>29</v>
      </c>
      <c r="E43" t="s">
        <v>12</v>
      </c>
      <c r="F43" t="s">
        <v>181</v>
      </c>
      <c r="G43" t="s">
        <v>132</v>
      </c>
      <c r="H43">
        <f>91-7777777777</f>
        <v>-7777777686</v>
      </c>
      <c r="I43" t="s">
        <v>133</v>
      </c>
      <c r="J43">
        <v>37358</v>
      </c>
    </row>
    <row r="44" spans="2:10" x14ac:dyDescent="0.3">
      <c r="B44">
        <v>37</v>
      </c>
      <c r="D44">
        <v>31</v>
      </c>
      <c r="E44" t="s">
        <v>19</v>
      </c>
      <c r="F44" t="s">
        <v>182</v>
      </c>
      <c r="G44" t="s">
        <v>135</v>
      </c>
      <c r="I44" t="s">
        <v>136</v>
      </c>
      <c r="J44">
        <v>48367</v>
      </c>
    </row>
    <row r="45" spans="2:10" x14ac:dyDescent="0.3">
      <c r="B45">
        <v>38</v>
      </c>
      <c r="C45" t="s">
        <v>212</v>
      </c>
      <c r="D45">
        <v>28</v>
      </c>
      <c r="E45" t="s">
        <v>12</v>
      </c>
      <c r="F45" t="s">
        <v>213</v>
      </c>
      <c r="G45" t="s">
        <v>138</v>
      </c>
      <c r="H45">
        <f>91-8888888888</f>
        <v>-8888888797</v>
      </c>
      <c r="I45" t="s">
        <v>139</v>
      </c>
      <c r="J45">
        <v>37473</v>
      </c>
    </row>
    <row r="46" spans="2:10" x14ac:dyDescent="0.3">
      <c r="B46">
        <v>39</v>
      </c>
      <c r="C46" t="s">
        <v>214</v>
      </c>
      <c r="D46">
        <v>33</v>
      </c>
      <c r="E46" t="s">
        <v>19</v>
      </c>
      <c r="F46" t="s">
        <v>67</v>
      </c>
      <c r="G46" t="s">
        <v>140</v>
      </c>
      <c r="H46">
        <f>91-9999999999</f>
        <v>-9999999908</v>
      </c>
      <c r="I46" t="s">
        <v>141</v>
      </c>
      <c r="J46">
        <v>30628</v>
      </c>
    </row>
    <row r="47" spans="2:10" x14ac:dyDescent="0.3">
      <c r="B47">
        <v>40</v>
      </c>
      <c r="C47" t="s">
        <v>215</v>
      </c>
      <c r="D47">
        <v>30</v>
      </c>
      <c r="E47" t="s">
        <v>12</v>
      </c>
      <c r="F47" t="s">
        <v>216</v>
      </c>
      <c r="G47" t="s">
        <v>143</v>
      </c>
      <c r="I47" t="s">
        <v>144</v>
      </c>
      <c r="J47">
        <v>22018</v>
      </c>
    </row>
    <row r="48" spans="2:10" x14ac:dyDescent="0.3">
      <c r="B48">
        <v>41</v>
      </c>
      <c r="C48" t="s">
        <v>217</v>
      </c>
      <c r="D48">
        <v>27</v>
      </c>
      <c r="E48" t="s">
        <v>19</v>
      </c>
      <c r="F48" t="s">
        <v>184</v>
      </c>
      <c r="G48" t="s">
        <v>146</v>
      </c>
      <c r="H48">
        <f>91-7777777777</f>
        <v>-7777777686</v>
      </c>
      <c r="I48" t="s">
        <v>147</v>
      </c>
      <c r="J48">
        <v>35747</v>
      </c>
    </row>
    <row r="49" spans="2:10" x14ac:dyDescent="0.3">
      <c r="B49">
        <v>42</v>
      </c>
      <c r="C49" t="s">
        <v>218</v>
      </c>
      <c r="D49">
        <v>29</v>
      </c>
      <c r="E49" t="s">
        <v>12</v>
      </c>
      <c r="F49" t="s">
        <v>182</v>
      </c>
      <c r="G49" t="s">
        <v>149</v>
      </c>
      <c r="I49" t="s">
        <v>150</v>
      </c>
      <c r="J49">
        <v>32258</v>
      </c>
    </row>
    <row r="50" spans="2:10" x14ac:dyDescent="0.3">
      <c r="B50">
        <v>43</v>
      </c>
      <c r="C50" t="s">
        <v>219</v>
      </c>
      <c r="D50">
        <v>26</v>
      </c>
      <c r="E50" t="s">
        <v>19</v>
      </c>
      <c r="F50" t="s">
        <v>71</v>
      </c>
      <c r="G50" t="s">
        <v>151</v>
      </c>
      <c r="H50">
        <f>91-5555555555</f>
        <v>-5555555464</v>
      </c>
      <c r="I50" t="s">
        <v>152</v>
      </c>
      <c r="J50">
        <v>31047</v>
      </c>
    </row>
    <row r="51" spans="2:10" x14ac:dyDescent="0.3">
      <c r="B51">
        <v>44</v>
      </c>
      <c r="D51">
        <v>28</v>
      </c>
      <c r="E51" t="s">
        <v>12</v>
      </c>
      <c r="F51" t="s">
        <v>74</v>
      </c>
      <c r="G51" t="s">
        <v>154</v>
      </c>
      <c r="I51" t="s">
        <v>155</v>
      </c>
      <c r="J51">
        <v>31064</v>
      </c>
    </row>
    <row r="52" spans="2:10" x14ac:dyDescent="0.3">
      <c r="B52">
        <v>45</v>
      </c>
      <c r="C52" t="s">
        <v>220</v>
      </c>
      <c r="D52">
        <v>31</v>
      </c>
      <c r="E52" t="s">
        <v>12</v>
      </c>
      <c r="F52" t="s">
        <v>41</v>
      </c>
      <c r="G52" t="s">
        <v>157</v>
      </c>
      <c r="H52">
        <f>91-8888888888</f>
        <v>-8888888797</v>
      </c>
      <c r="J52">
        <v>3108</v>
      </c>
    </row>
    <row r="53" spans="2:10" x14ac:dyDescent="0.3">
      <c r="B53">
        <v>46</v>
      </c>
      <c r="C53" t="s">
        <v>221</v>
      </c>
      <c r="D53">
        <v>27</v>
      </c>
      <c r="E53" t="s">
        <v>19</v>
      </c>
      <c r="F53" t="s">
        <v>213</v>
      </c>
      <c r="G53" t="s">
        <v>159</v>
      </c>
      <c r="H53">
        <f>91-7777777777</f>
        <v>-7777777686</v>
      </c>
      <c r="I53" t="s">
        <v>160</v>
      </c>
      <c r="J53">
        <v>20205</v>
      </c>
    </row>
    <row r="54" spans="2:10" x14ac:dyDescent="0.3">
      <c r="B54">
        <v>47</v>
      </c>
      <c r="D54">
        <v>29</v>
      </c>
      <c r="E54" t="s">
        <v>12</v>
      </c>
      <c r="F54" t="s">
        <v>67</v>
      </c>
      <c r="G54" t="s">
        <v>162</v>
      </c>
      <c r="I54" t="s">
        <v>163</v>
      </c>
      <c r="J54">
        <v>8746</v>
      </c>
    </row>
    <row r="55" spans="2:10" x14ac:dyDescent="0.3">
      <c r="B55">
        <v>48</v>
      </c>
      <c r="C55" t="s">
        <v>222</v>
      </c>
      <c r="D55">
        <v>32</v>
      </c>
      <c r="E55" t="s">
        <v>19</v>
      </c>
      <c r="F55" t="s">
        <v>179</v>
      </c>
      <c r="G55" t="s">
        <v>166</v>
      </c>
      <c r="H55">
        <f>91-6666666666</f>
        <v>-6666666575</v>
      </c>
      <c r="I55" t="s">
        <v>167</v>
      </c>
      <c r="J55">
        <v>15531</v>
      </c>
    </row>
    <row r="56" spans="2:10" x14ac:dyDescent="0.3">
      <c r="B56">
        <v>49</v>
      </c>
      <c r="C56" t="s">
        <v>223</v>
      </c>
      <c r="E56" t="s">
        <v>12</v>
      </c>
      <c r="F56" t="s">
        <v>181</v>
      </c>
      <c r="G56" t="s">
        <v>169</v>
      </c>
      <c r="H56">
        <f>91-5555555555</f>
        <v>-5555555464</v>
      </c>
      <c r="I56" t="s">
        <v>170</v>
      </c>
      <c r="J56">
        <v>23055</v>
      </c>
    </row>
    <row r="57" spans="2:10" x14ac:dyDescent="0.3">
      <c r="B57">
        <v>50</v>
      </c>
      <c r="C57" t="s">
        <v>224</v>
      </c>
      <c r="D57">
        <v>30</v>
      </c>
      <c r="E57" t="s">
        <v>19</v>
      </c>
      <c r="F57" t="s">
        <v>182</v>
      </c>
      <c r="G57" t="s">
        <v>172</v>
      </c>
      <c r="I57" t="s">
        <v>173</v>
      </c>
      <c r="J57">
        <v>18647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1C6BA-43ED-4858-90C5-922ABCAD3B87}">
  <dimension ref="A1:J48"/>
  <sheetViews>
    <sheetView topLeftCell="A19" workbookViewId="0">
      <selection activeCell="M13" sqref="M13"/>
    </sheetView>
  </sheetViews>
  <sheetFormatPr defaultRowHeight="14.4" x14ac:dyDescent="0.3"/>
  <cols>
    <col min="1" max="1" width="3" bestFit="1" customWidth="1"/>
    <col min="2" max="2" width="9.77734375" bestFit="1" customWidth="1"/>
    <col min="3" max="3" width="9.6640625" bestFit="1" customWidth="1"/>
    <col min="4" max="4" width="6" bestFit="1" customWidth="1"/>
    <col min="5" max="5" width="6.88671875" bestFit="1" customWidth="1"/>
    <col min="6" max="6" width="15.5546875" bestFit="1" customWidth="1"/>
    <col min="7" max="7" width="25.109375" bestFit="1" customWidth="1"/>
    <col min="8" max="8" width="13.77734375" bestFit="1" customWidth="1"/>
    <col min="9" max="9" width="36.5546875" bestFit="1" customWidth="1"/>
    <col min="10" max="10" width="6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>
        <v>1</v>
      </c>
      <c r="B2" t="s">
        <v>10</v>
      </c>
      <c r="C2" t="s">
        <v>11</v>
      </c>
      <c r="D2">
        <v>32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s="1">
        <v>49938</v>
      </c>
    </row>
    <row r="3" spans="1:10" x14ac:dyDescent="0.3">
      <c r="A3">
        <v>2</v>
      </c>
      <c r="B3" t="s">
        <v>17</v>
      </c>
      <c r="C3" t="s">
        <v>18</v>
      </c>
      <c r="D3">
        <v>28</v>
      </c>
      <c r="E3" t="s">
        <v>19</v>
      </c>
      <c r="F3" t="s">
        <v>20</v>
      </c>
      <c r="G3" t="s">
        <v>21</v>
      </c>
      <c r="H3" t="s">
        <v>22</v>
      </c>
      <c r="I3" t="s">
        <v>23</v>
      </c>
      <c r="J3" s="1">
        <v>49681</v>
      </c>
    </row>
    <row r="4" spans="1:10" x14ac:dyDescent="0.3">
      <c r="A4">
        <v>3</v>
      </c>
      <c r="B4" t="s">
        <v>24</v>
      </c>
      <c r="C4" t="s">
        <v>25</v>
      </c>
      <c r="D4">
        <v>27</v>
      </c>
      <c r="E4" t="s">
        <v>12</v>
      </c>
      <c r="F4" t="s">
        <v>26</v>
      </c>
      <c r="G4" t="s">
        <v>27</v>
      </c>
      <c r="H4" t="s">
        <v>28</v>
      </c>
      <c r="I4" t="s">
        <v>29</v>
      </c>
      <c r="J4" s="1">
        <v>49400</v>
      </c>
    </row>
    <row r="5" spans="1:10" x14ac:dyDescent="0.3">
      <c r="A5">
        <v>4</v>
      </c>
      <c r="B5" t="s">
        <v>30</v>
      </c>
      <c r="C5" t="s">
        <v>31</v>
      </c>
      <c r="D5">
        <v>33</v>
      </c>
      <c r="E5" t="s">
        <v>19</v>
      </c>
      <c r="F5" t="s">
        <v>32</v>
      </c>
      <c r="G5" t="s">
        <v>33</v>
      </c>
      <c r="H5" t="s">
        <v>34</v>
      </c>
      <c r="I5" t="s">
        <v>35</v>
      </c>
      <c r="J5" s="1">
        <v>48367</v>
      </c>
    </row>
    <row r="6" spans="1:10" x14ac:dyDescent="0.3">
      <c r="A6">
        <v>5</v>
      </c>
      <c r="B6" t="s">
        <v>17</v>
      </c>
      <c r="C6" t="s">
        <v>11</v>
      </c>
      <c r="D6">
        <v>29</v>
      </c>
      <c r="E6" t="s">
        <v>19</v>
      </c>
      <c r="F6" t="s">
        <v>32</v>
      </c>
      <c r="G6" t="s">
        <v>36</v>
      </c>
      <c r="H6" t="s">
        <v>37</v>
      </c>
      <c r="I6" t="s">
        <v>38</v>
      </c>
      <c r="J6" s="1">
        <v>45678</v>
      </c>
    </row>
    <row r="7" spans="1:10" x14ac:dyDescent="0.3">
      <c r="A7">
        <v>6</v>
      </c>
      <c r="B7" t="s">
        <v>39</v>
      </c>
      <c r="C7" t="s">
        <v>40</v>
      </c>
      <c r="D7">
        <v>34</v>
      </c>
      <c r="E7" t="s">
        <v>12</v>
      </c>
      <c r="F7" t="s">
        <v>41</v>
      </c>
      <c r="G7" t="s">
        <v>42</v>
      </c>
      <c r="H7" t="s">
        <v>37</v>
      </c>
      <c r="I7" t="s">
        <v>43</v>
      </c>
      <c r="J7" s="1">
        <v>45450</v>
      </c>
    </row>
    <row r="8" spans="1:10" x14ac:dyDescent="0.3">
      <c r="A8">
        <v>8</v>
      </c>
      <c r="B8" t="s">
        <v>44</v>
      </c>
      <c r="C8" t="s">
        <v>45</v>
      </c>
      <c r="D8">
        <v>31</v>
      </c>
      <c r="E8" t="s">
        <v>12</v>
      </c>
      <c r="F8" t="s">
        <v>32</v>
      </c>
      <c r="G8" t="s">
        <v>46</v>
      </c>
      <c r="H8" t="s">
        <v>47</v>
      </c>
      <c r="I8" t="s">
        <v>38</v>
      </c>
      <c r="J8" s="1">
        <v>41841</v>
      </c>
    </row>
    <row r="9" spans="1:10" x14ac:dyDescent="0.3">
      <c r="A9">
        <v>9</v>
      </c>
      <c r="B9" t="s">
        <v>48</v>
      </c>
      <c r="C9" t="s">
        <v>49</v>
      </c>
      <c r="D9">
        <v>27</v>
      </c>
      <c r="E9" t="s">
        <v>19</v>
      </c>
      <c r="F9" t="s">
        <v>32</v>
      </c>
      <c r="G9" t="s">
        <v>50</v>
      </c>
      <c r="H9" t="s">
        <v>51</v>
      </c>
      <c r="I9" t="s">
        <v>52</v>
      </c>
      <c r="J9" s="1">
        <v>41836</v>
      </c>
    </row>
    <row r="10" spans="1:10" x14ac:dyDescent="0.3">
      <c r="A10">
        <v>10</v>
      </c>
      <c r="B10" t="s">
        <v>53</v>
      </c>
      <c r="C10" t="s">
        <v>31</v>
      </c>
      <c r="D10">
        <v>35</v>
      </c>
      <c r="E10" t="s">
        <v>12</v>
      </c>
      <c r="F10" t="s">
        <v>13</v>
      </c>
      <c r="G10" t="s">
        <v>54</v>
      </c>
      <c r="H10" t="s">
        <v>37</v>
      </c>
      <c r="I10" t="s">
        <v>55</v>
      </c>
      <c r="J10" s="1">
        <v>40940</v>
      </c>
    </row>
    <row r="11" spans="1:10" x14ac:dyDescent="0.3">
      <c r="A11">
        <v>11</v>
      </c>
      <c r="B11" t="s">
        <v>56</v>
      </c>
      <c r="C11" t="s">
        <v>57</v>
      </c>
      <c r="D11">
        <v>29.74</v>
      </c>
      <c r="E11" t="s">
        <v>19</v>
      </c>
      <c r="F11" t="s">
        <v>20</v>
      </c>
      <c r="G11" t="s">
        <v>58</v>
      </c>
      <c r="H11" t="s">
        <v>59</v>
      </c>
      <c r="I11" t="s">
        <v>60</v>
      </c>
      <c r="J11" s="1">
        <v>40088</v>
      </c>
    </row>
    <row r="12" spans="1:10" x14ac:dyDescent="0.3">
      <c r="A12">
        <v>12</v>
      </c>
      <c r="B12" t="s">
        <v>61</v>
      </c>
      <c r="C12" t="s">
        <v>40</v>
      </c>
      <c r="D12">
        <v>29</v>
      </c>
      <c r="E12" t="s">
        <v>12</v>
      </c>
      <c r="F12" t="s">
        <v>20</v>
      </c>
      <c r="G12" t="s">
        <v>62</v>
      </c>
      <c r="H12" t="s">
        <v>63</v>
      </c>
      <c r="I12" t="s">
        <v>64</v>
      </c>
      <c r="J12">
        <v>39835</v>
      </c>
    </row>
    <row r="13" spans="1:10" x14ac:dyDescent="0.3">
      <c r="A13">
        <v>14</v>
      </c>
      <c r="B13" t="s">
        <v>65</v>
      </c>
      <c r="C13" t="s">
        <v>66</v>
      </c>
      <c r="D13">
        <v>28</v>
      </c>
      <c r="E13" t="s">
        <v>19</v>
      </c>
      <c r="F13" t="s">
        <v>67</v>
      </c>
      <c r="G13" t="s">
        <v>68</v>
      </c>
      <c r="H13" t="s">
        <v>37</v>
      </c>
      <c r="I13" t="s">
        <v>69</v>
      </c>
      <c r="J13">
        <v>37473</v>
      </c>
    </row>
    <row r="14" spans="1:10" x14ac:dyDescent="0.3">
      <c r="A14">
        <v>15</v>
      </c>
      <c r="B14" t="s">
        <v>70</v>
      </c>
      <c r="C14" t="s">
        <v>31</v>
      </c>
      <c r="D14">
        <v>30</v>
      </c>
      <c r="E14" t="s">
        <v>19</v>
      </c>
      <c r="F14" t="s">
        <v>71</v>
      </c>
      <c r="G14" t="s">
        <v>72</v>
      </c>
      <c r="H14" t="s">
        <v>47</v>
      </c>
      <c r="I14" t="s">
        <v>38</v>
      </c>
      <c r="J14">
        <v>37358</v>
      </c>
    </row>
    <row r="15" spans="1:10" x14ac:dyDescent="0.3">
      <c r="A15">
        <v>16</v>
      </c>
      <c r="B15" t="s">
        <v>73</v>
      </c>
      <c r="C15" t="s">
        <v>25</v>
      </c>
      <c r="D15">
        <v>32</v>
      </c>
      <c r="E15" t="s">
        <v>12</v>
      </c>
      <c r="F15" t="s">
        <v>74</v>
      </c>
      <c r="G15" t="s">
        <v>75</v>
      </c>
      <c r="H15" t="s">
        <v>76</v>
      </c>
      <c r="I15" t="s">
        <v>77</v>
      </c>
      <c r="J15">
        <v>35969</v>
      </c>
    </row>
    <row r="16" spans="1:10" x14ac:dyDescent="0.3">
      <c r="A16">
        <v>17</v>
      </c>
      <c r="B16" t="s">
        <v>78</v>
      </c>
      <c r="C16" t="s">
        <v>79</v>
      </c>
      <c r="D16">
        <v>26</v>
      </c>
      <c r="E16" t="s">
        <v>19</v>
      </c>
      <c r="F16" t="s">
        <v>41</v>
      </c>
      <c r="G16" t="s">
        <v>80</v>
      </c>
      <c r="H16" t="s">
        <v>81</v>
      </c>
      <c r="I16" t="s">
        <v>38</v>
      </c>
      <c r="J16">
        <v>35747</v>
      </c>
    </row>
    <row r="17" spans="1:10" x14ac:dyDescent="0.3">
      <c r="A17">
        <v>18</v>
      </c>
      <c r="B17" t="s">
        <v>82</v>
      </c>
      <c r="C17" t="s">
        <v>31</v>
      </c>
      <c r="D17">
        <v>28</v>
      </c>
      <c r="E17" t="s">
        <v>12</v>
      </c>
      <c r="F17" t="s">
        <v>41</v>
      </c>
      <c r="G17" t="s">
        <v>83</v>
      </c>
      <c r="H17" t="s">
        <v>84</v>
      </c>
      <c r="I17" t="s">
        <v>85</v>
      </c>
      <c r="J17">
        <v>33457</v>
      </c>
    </row>
    <row r="18" spans="1:10" x14ac:dyDescent="0.3">
      <c r="A18">
        <v>19</v>
      </c>
      <c r="B18" t="s">
        <v>86</v>
      </c>
      <c r="C18" t="s">
        <v>66</v>
      </c>
      <c r="D18">
        <v>30</v>
      </c>
      <c r="E18" t="s">
        <v>19</v>
      </c>
      <c r="F18" t="s">
        <v>41</v>
      </c>
      <c r="G18" t="s">
        <v>87</v>
      </c>
      <c r="H18" t="s">
        <v>63</v>
      </c>
      <c r="I18" t="s">
        <v>88</v>
      </c>
      <c r="J18">
        <v>33418</v>
      </c>
    </row>
    <row r="19" spans="1:10" x14ac:dyDescent="0.3">
      <c r="A19">
        <v>20</v>
      </c>
      <c r="B19" t="s">
        <v>89</v>
      </c>
      <c r="C19" t="s">
        <v>90</v>
      </c>
      <c r="D19">
        <v>32</v>
      </c>
      <c r="E19" t="s">
        <v>12</v>
      </c>
      <c r="F19" t="s">
        <v>71</v>
      </c>
      <c r="G19" t="s">
        <v>91</v>
      </c>
      <c r="H19" t="s">
        <v>92</v>
      </c>
      <c r="I19" t="s">
        <v>38</v>
      </c>
      <c r="J19">
        <v>32258</v>
      </c>
    </row>
    <row r="20" spans="1:10" x14ac:dyDescent="0.3">
      <c r="A20">
        <v>21</v>
      </c>
      <c r="B20" t="s">
        <v>93</v>
      </c>
      <c r="C20" t="s">
        <v>45</v>
      </c>
      <c r="D20">
        <v>26</v>
      </c>
      <c r="E20" t="s">
        <v>19</v>
      </c>
      <c r="F20" t="s">
        <v>74</v>
      </c>
      <c r="G20" t="s">
        <v>94</v>
      </c>
      <c r="H20" t="s">
        <v>37</v>
      </c>
      <c r="I20" t="s">
        <v>95</v>
      </c>
      <c r="J20">
        <v>31169</v>
      </c>
    </row>
    <row r="21" spans="1:10" x14ac:dyDescent="0.3">
      <c r="A21">
        <v>22</v>
      </c>
      <c r="B21" t="s">
        <v>96</v>
      </c>
      <c r="C21" t="s">
        <v>40</v>
      </c>
      <c r="D21">
        <v>33</v>
      </c>
      <c r="E21" t="s">
        <v>12</v>
      </c>
      <c r="F21" t="s">
        <v>41</v>
      </c>
      <c r="G21" t="s">
        <v>97</v>
      </c>
      <c r="H21" t="s">
        <v>47</v>
      </c>
      <c r="I21" t="s">
        <v>98</v>
      </c>
      <c r="J21">
        <v>31064</v>
      </c>
    </row>
    <row r="22" spans="1:10" x14ac:dyDescent="0.3">
      <c r="A22">
        <v>24</v>
      </c>
      <c r="B22" t="s">
        <v>99</v>
      </c>
      <c r="C22" t="s">
        <v>49</v>
      </c>
      <c r="D22">
        <v>29</v>
      </c>
      <c r="E22" t="s">
        <v>12</v>
      </c>
      <c r="F22" t="s">
        <v>13</v>
      </c>
      <c r="G22" t="s">
        <v>100</v>
      </c>
      <c r="H22" t="s">
        <v>101</v>
      </c>
      <c r="I22" t="s">
        <v>38</v>
      </c>
      <c r="J22">
        <v>31047</v>
      </c>
    </row>
    <row r="23" spans="1:10" x14ac:dyDescent="0.3">
      <c r="A23">
        <v>25</v>
      </c>
      <c r="B23" t="s">
        <v>102</v>
      </c>
      <c r="C23" t="s">
        <v>31</v>
      </c>
      <c r="D23">
        <v>29.74</v>
      </c>
      <c r="E23" t="s">
        <v>19</v>
      </c>
      <c r="F23" t="s">
        <v>20</v>
      </c>
      <c r="G23" t="s">
        <v>103</v>
      </c>
      <c r="H23" t="s">
        <v>63</v>
      </c>
      <c r="I23" t="s">
        <v>104</v>
      </c>
      <c r="J23">
        <v>30628</v>
      </c>
    </row>
    <row r="24" spans="1:10" x14ac:dyDescent="0.3">
      <c r="A24">
        <v>26</v>
      </c>
      <c r="B24" t="s">
        <v>105</v>
      </c>
      <c r="C24" t="s">
        <v>25</v>
      </c>
      <c r="D24">
        <v>31</v>
      </c>
      <c r="E24" t="s">
        <v>12</v>
      </c>
      <c r="F24" t="s">
        <v>71</v>
      </c>
      <c r="G24" t="s">
        <v>106</v>
      </c>
      <c r="H24" t="s">
        <v>37</v>
      </c>
      <c r="I24" t="s">
        <v>107</v>
      </c>
      <c r="J24">
        <v>29480</v>
      </c>
    </row>
    <row r="25" spans="1:10" x14ac:dyDescent="0.3">
      <c r="A25">
        <v>27</v>
      </c>
      <c r="B25" t="s">
        <v>108</v>
      </c>
      <c r="C25" t="s">
        <v>66</v>
      </c>
      <c r="D25">
        <v>28</v>
      </c>
      <c r="E25" t="s">
        <v>19</v>
      </c>
      <c r="F25" t="s">
        <v>74</v>
      </c>
      <c r="G25" t="s">
        <v>109</v>
      </c>
      <c r="H25" t="s">
        <v>51</v>
      </c>
      <c r="I25" t="s">
        <v>110</v>
      </c>
      <c r="J25">
        <v>28476</v>
      </c>
    </row>
    <row r="26" spans="1:10" x14ac:dyDescent="0.3">
      <c r="A26">
        <v>28</v>
      </c>
      <c r="B26" t="s">
        <v>111</v>
      </c>
      <c r="C26" t="s">
        <v>40</v>
      </c>
      <c r="D26">
        <v>34</v>
      </c>
      <c r="E26" t="s">
        <v>12</v>
      </c>
      <c r="F26" t="s">
        <v>41</v>
      </c>
      <c r="G26" t="s">
        <v>112</v>
      </c>
      <c r="H26" t="s">
        <v>47</v>
      </c>
      <c r="I26" t="s">
        <v>113</v>
      </c>
      <c r="J26">
        <v>23055</v>
      </c>
    </row>
    <row r="27" spans="1:10" x14ac:dyDescent="0.3">
      <c r="A27">
        <v>29</v>
      </c>
      <c r="B27" t="s">
        <v>65</v>
      </c>
      <c r="C27" t="s">
        <v>114</v>
      </c>
      <c r="D27">
        <v>26</v>
      </c>
      <c r="E27" t="s">
        <v>19</v>
      </c>
      <c r="F27" t="s">
        <v>26</v>
      </c>
      <c r="G27" t="s">
        <v>115</v>
      </c>
      <c r="H27" t="s">
        <v>51</v>
      </c>
      <c r="I27" t="s">
        <v>116</v>
      </c>
      <c r="J27">
        <v>22018</v>
      </c>
    </row>
    <row r="28" spans="1:10" x14ac:dyDescent="0.3">
      <c r="A28">
        <v>30</v>
      </c>
      <c r="B28" t="s">
        <v>117</v>
      </c>
      <c r="C28" t="s">
        <v>66</v>
      </c>
      <c r="D28">
        <v>29</v>
      </c>
      <c r="E28" t="s">
        <v>12</v>
      </c>
      <c r="F28" t="s">
        <v>32</v>
      </c>
      <c r="G28" t="s">
        <v>118</v>
      </c>
      <c r="H28" t="s">
        <v>37</v>
      </c>
      <c r="I28" t="s">
        <v>119</v>
      </c>
      <c r="J28">
        <v>21978</v>
      </c>
    </row>
    <row r="29" spans="1:10" x14ac:dyDescent="0.3">
      <c r="A29">
        <v>31</v>
      </c>
      <c r="B29" t="s">
        <v>48</v>
      </c>
      <c r="C29" t="s">
        <v>49</v>
      </c>
      <c r="D29">
        <v>27</v>
      </c>
      <c r="E29" t="s">
        <v>19</v>
      </c>
      <c r="F29" t="s">
        <v>32</v>
      </c>
      <c r="G29" t="s">
        <v>120</v>
      </c>
      <c r="H29" t="s">
        <v>63</v>
      </c>
      <c r="I29" t="s">
        <v>38</v>
      </c>
      <c r="J29">
        <v>21918</v>
      </c>
    </row>
    <row r="30" spans="1:10" x14ac:dyDescent="0.3">
      <c r="A30">
        <v>32</v>
      </c>
      <c r="B30" t="s">
        <v>61</v>
      </c>
      <c r="C30" t="s">
        <v>31</v>
      </c>
      <c r="D30">
        <v>32</v>
      </c>
      <c r="E30" t="s">
        <v>12</v>
      </c>
      <c r="F30" t="s">
        <v>71</v>
      </c>
      <c r="G30" t="s">
        <v>121</v>
      </c>
      <c r="H30" t="s">
        <v>37</v>
      </c>
      <c r="I30" t="s">
        <v>122</v>
      </c>
      <c r="J30">
        <v>20205</v>
      </c>
    </row>
    <row r="31" spans="1:10" x14ac:dyDescent="0.3">
      <c r="A31">
        <v>33</v>
      </c>
      <c r="B31" t="s">
        <v>123</v>
      </c>
      <c r="C31" t="s">
        <v>25</v>
      </c>
      <c r="D31">
        <v>33</v>
      </c>
      <c r="E31" t="s">
        <v>19</v>
      </c>
      <c r="F31" t="s">
        <v>74</v>
      </c>
      <c r="G31" t="s">
        <v>124</v>
      </c>
      <c r="H31" t="s">
        <v>59</v>
      </c>
      <c r="I31" t="s">
        <v>125</v>
      </c>
      <c r="J31">
        <v>18647</v>
      </c>
    </row>
    <row r="32" spans="1:10" x14ac:dyDescent="0.3">
      <c r="A32">
        <v>34</v>
      </c>
      <c r="B32" t="s">
        <v>126</v>
      </c>
      <c r="C32" t="s">
        <v>66</v>
      </c>
      <c r="D32">
        <v>30</v>
      </c>
      <c r="E32" t="s">
        <v>12</v>
      </c>
      <c r="F32" t="s">
        <v>41</v>
      </c>
      <c r="G32" t="s">
        <v>127</v>
      </c>
      <c r="H32" t="s">
        <v>37</v>
      </c>
      <c r="I32" t="s">
        <v>128</v>
      </c>
      <c r="J32">
        <v>15853</v>
      </c>
    </row>
    <row r="33" spans="1:10" x14ac:dyDescent="0.3">
      <c r="A33">
        <v>35</v>
      </c>
      <c r="B33" t="s">
        <v>30</v>
      </c>
      <c r="C33" t="s">
        <v>49</v>
      </c>
      <c r="D33">
        <v>29.74</v>
      </c>
      <c r="E33" t="s">
        <v>19</v>
      </c>
      <c r="F33" t="s">
        <v>26</v>
      </c>
      <c r="G33" t="s">
        <v>129</v>
      </c>
      <c r="H33" t="s">
        <v>63</v>
      </c>
      <c r="I33" t="s">
        <v>130</v>
      </c>
      <c r="J33">
        <v>15531</v>
      </c>
    </row>
    <row r="34" spans="1:10" x14ac:dyDescent="0.3">
      <c r="A34">
        <v>36</v>
      </c>
      <c r="B34" t="s">
        <v>131</v>
      </c>
      <c r="C34" t="s">
        <v>25</v>
      </c>
      <c r="D34">
        <v>29</v>
      </c>
      <c r="E34" t="s">
        <v>12</v>
      </c>
      <c r="F34" t="s">
        <v>32</v>
      </c>
      <c r="G34" t="s">
        <v>132</v>
      </c>
      <c r="H34" t="s">
        <v>51</v>
      </c>
      <c r="I34" t="s">
        <v>133</v>
      </c>
      <c r="J34">
        <v>14254</v>
      </c>
    </row>
    <row r="35" spans="1:10" x14ac:dyDescent="0.3">
      <c r="A35">
        <v>37</v>
      </c>
      <c r="B35" t="s">
        <v>134</v>
      </c>
      <c r="C35" t="s">
        <v>31</v>
      </c>
      <c r="D35">
        <v>31</v>
      </c>
      <c r="E35" t="s">
        <v>19</v>
      </c>
      <c r="F35" t="s">
        <v>32</v>
      </c>
      <c r="G35" t="s">
        <v>135</v>
      </c>
      <c r="H35" t="s">
        <v>37</v>
      </c>
      <c r="I35" t="s">
        <v>136</v>
      </c>
      <c r="J35">
        <v>11901</v>
      </c>
    </row>
    <row r="36" spans="1:10" x14ac:dyDescent="0.3">
      <c r="A36">
        <v>38</v>
      </c>
      <c r="B36" t="s">
        <v>137</v>
      </c>
      <c r="C36" t="s">
        <v>45</v>
      </c>
      <c r="D36">
        <v>28</v>
      </c>
      <c r="E36" t="s">
        <v>12</v>
      </c>
      <c r="F36" t="s">
        <v>67</v>
      </c>
      <c r="G36" t="s">
        <v>138</v>
      </c>
      <c r="H36" t="s">
        <v>47</v>
      </c>
      <c r="I36" t="s">
        <v>139</v>
      </c>
      <c r="J36">
        <v>11342</v>
      </c>
    </row>
    <row r="37" spans="1:10" x14ac:dyDescent="0.3">
      <c r="A37">
        <v>39</v>
      </c>
      <c r="B37" t="s">
        <v>70</v>
      </c>
      <c r="C37" t="s">
        <v>66</v>
      </c>
      <c r="D37">
        <v>33</v>
      </c>
      <c r="E37" t="s">
        <v>19</v>
      </c>
      <c r="F37" t="s">
        <v>67</v>
      </c>
      <c r="G37" t="s">
        <v>140</v>
      </c>
      <c r="H37" t="s">
        <v>92</v>
      </c>
      <c r="I37" t="s">
        <v>141</v>
      </c>
      <c r="J37">
        <v>11116</v>
      </c>
    </row>
    <row r="38" spans="1:10" x14ac:dyDescent="0.3">
      <c r="A38">
        <v>40</v>
      </c>
      <c r="B38" t="s">
        <v>117</v>
      </c>
      <c r="C38" t="s">
        <v>25</v>
      </c>
      <c r="D38">
        <v>30</v>
      </c>
      <c r="E38" t="s">
        <v>12</v>
      </c>
      <c r="F38" t="s">
        <v>142</v>
      </c>
      <c r="G38" t="s">
        <v>143</v>
      </c>
      <c r="H38" t="s">
        <v>37</v>
      </c>
      <c r="I38" t="s">
        <v>144</v>
      </c>
      <c r="J38">
        <v>9818</v>
      </c>
    </row>
    <row r="39" spans="1:10" x14ac:dyDescent="0.3">
      <c r="A39">
        <v>41</v>
      </c>
      <c r="B39" t="s">
        <v>145</v>
      </c>
      <c r="C39" t="s">
        <v>114</v>
      </c>
      <c r="D39">
        <v>27</v>
      </c>
      <c r="E39" t="s">
        <v>19</v>
      </c>
      <c r="F39" t="s">
        <v>41</v>
      </c>
      <c r="G39" t="s">
        <v>146</v>
      </c>
      <c r="H39" t="s">
        <v>51</v>
      </c>
      <c r="I39" t="s">
        <v>147</v>
      </c>
      <c r="J39">
        <v>9577</v>
      </c>
    </row>
    <row r="40" spans="1:10" x14ac:dyDescent="0.3">
      <c r="A40">
        <v>42</v>
      </c>
      <c r="B40" t="s">
        <v>148</v>
      </c>
      <c r="C40" t="s">
        <v>40</v>
      </c>
      <c r="D40">
        <v>29</v>
      </c>
      <c r="E40" t="s">
        <v>12</v>
      </c>
      <c r="F40" t="s">
        <v>32</v>
      </c>
      <c r="G40" t="s">
        <v>149</v>
      </c>
      <c r="H40" t="s">
        <v>37</v>
      </c>
      <c r="I40" t="s">
        <v>150</v>
      </c>
      <c r="J40">
        <v>8746</v>
      </c>
    </row>
    <row r="41" spans="1:10" x14ac:dyDescent="0.3">
      <c r="A41">
        <v>43</v>
      </c>
      <c r="B41" t="s">
        <v>102</v>
      </c>
      <c r="C41" t="s">
        <v>49</v>
      </c>
      <c r="D41">
        <v>26</v>
      </c>
      <c r="E41" t="s">
        <v>19</v>
      </c>
      <c r="F41" t="s">
        <v>71</v>
      </c>
      <c r="G41" t="s">
        <v>151</v>
      </c>
      <c r="H41" t="s">
        <v>63</v>
      </c>
      <c r="I41" t="s">
        <v>152</v>
      </c>
      <c r="J41">
        <v>8022</v>
      </c>
    </row>
    <row r="42" spans="1:10" x14ac:dyDescent="0.3">
      <c r="A42">
        <v>44</v>
      </c>
      <c r="B42" t="s">
        <v>153</v>
      </c>
      <c r="C42" t="s">
        <v>31</v>
      </c>
      <c r="D42">
        <v>28</v>
      </c>
      <c r="E42" t="s">
        <v>12</v>
      </c>
      <c r="F42" t="s">
        <v>74</v>
      </c>
      <c r="G42" t="s">
        <v>154</v>
      </c>
      <c r="H42" t="s">
        <v>37</v>
      </c>
      <c r="I42" t="s">
        <v>155</v>
      </c>
      <c r="J42">
        <v>6926</v>
      </c>
    </row>
    <row r="43" spans="1:10" x14ac:dyDescent="0.3">
      <c r="A43">
        <v>45</v>
      </c>
      <c r="B43" t="s">
        <v>156</v>
      </c>
      <c r="C43" t="s">
        <v>66</v>
      </c>
      <c r="D43">
        <v>31</v>
      </c>
      <c r="E43" t="s">
        <v>12</v>
      </c>
      <c r="F43" t="s">
        <v>41</v>
      </c>
      <c r="G43" t="s">
        <v>157</v>
      </c>
      <c r="H43" t="s">
        <v>47</v>
      </c>
      <c r="I43" t="s">
        <v>38</v>
      </c>
      <c r="J43">
        <v>4553</v>
      </c>
    </row>
    <row r="44" spans="1:10" x14ac:dyDescent="0.3">
      <c r="A44">
        <v>46</v>
      </c>
      <c r="B44" t="s">
        <v>158</v>
      </c>
      <c r="C44" t="s">
        <v>25</v>
      </c>
      <c r="D44">
        <v>27</v>
      </c>
      <c r="E44" t="s">
        <v>19</v>
      </c>
      <c r="F44" t="s">
        <v>67</v>
      </c>
      <c r="G44" t="s">
        <v>159</v>
      </c>
      <c r="H44" t="s">
        <v>51</v>
      </c>
      <c r="I44" t="s">
        <v>160</v>
      </c>
      <c r="J44">
        <v>3484</v>
      </c>
    </row>
    <row r="45" spans="1:10" x14ac:dyDescent="0.3">
      <c r="A45">
        <v>47</v>
      </c>
      <c r="B45" t="s">
        <v>161</v>
      </c>
      <c r="C45" t="s">
        <v>40</v>
      </c>
      <c r="D45">
        <v>29</v>
      </c>
      <c r="E45" t="s">
        <v>12</v>
      </c>
      <c r="F45" t="s">
        <v>67</v>
      </c>
      <c r="G45" t="s">
        <v>162</v>
      </c>
      <c r="H45" t="s">
        <v>37</v>
      </c>
      <c r="I45" t="s">
        <v>163</v>
      </c>
      <c r="J45">
        <v>3337</v>
      </c>
    </row>
    <row r="46" spans="1:10" x14ac:dyDescent="0.3">
      <c r="A46">
        <v>48</v>
      </c>
      <c r="B46" t="s">
        <v>164</v>
      </c>
      <c r="C46" t="s">
        <v>165</v>
      </c>
      <c r="D46">
        <v>32</v>
      </c>
      <c r="E46" t="s">
        <v>19</v>
      </c>
      <c r="F46" t="s">
        <v>26</v>
      </c>
      <c r="G46" t="s">
        <v>166</v>
      </c>
      <c r="H46" t="s">
        <v>59</v>
      </c>
      <c r="I46" t="s">
        <v>167</v>
      </c>
      <c r="J46">
        <v>3108</v>
      </c>
    </row>
    <row r="47" spans="1:10" x14ac:dyDescent="0.3">
      <c r="A47">
        <v>49</v>
      </c>
      <c r="B47" t="s">
        <v>168</v>
      </c>
      <c r="C47" t="s">
        <v>66</v>
      </c>
      <c r="D47">
        <v>29.74</v>
      </c>
      <c r="E47" t="s">
        <v>12</v>
      </c>
      <c r="F47" t="s">
        <v>32</v>
      </c>
      <c r="G47" t="s">
        <v>169</v>
      </c>
      <c r="H47" t="s">
        <v>63</v>
      </c>
      <c r="I47" t="s">
        <v>170</v>
      </c>
      <c r="J47">
        <v>2949</v>
      </c>
    </row>
    <row r="48" spans="1:10" x14ac:dyDescent="0.3">
      <c r="A48">
        <v>50</v>
      </c>
      <c r="B48" t="s">
        <v>171</v>
      </c>
      <c r="C48" t="s">
        <v>31</v>
      </c>
      <c r="D48">
        <v>30</v>
      </c>
      <c r="E48" t="s">
        <v>19</v>
      </c>
      <c r="F48" t="s">
        <v>32</v>
      </c>
      <c r="G48" t="s">
        <v>172</v>
      </c>
      <c r="H48" t="s">
        <v>37</v>
      </c>
      <c r="I48" t="s">
        <v>173</v>
      </c>
      <c r="J48">
        <v>2857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kumar</dc:creator>
  <cp:lastModifiedBy>santosh kumar</cp:lastModifiedBy>
  <dcterms:created xsi:type="dcterms:W3CDTF">2023-05-07T03:54:37Z</dcterms:created>
  <dcterms:modified xsi:type="dcterms:W3CDTF">2023-05-07T03:57:18Z</dcterms:modified>
</cp:coreProperties>
</file>